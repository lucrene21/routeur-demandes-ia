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tabRatio="500"/>
  </bookViews>
  <sheets>
    <sheet name="Annotation" sheetId="1" r:id="rId1"/>
    <sheet name="Suivi relecture" sheetId="2" r:id="rId2"/>
    <sheet name="A lire avant" sheetId="3" r:id="rId3"/>
    <sheet name="Defini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<sst xmlns="http://schemas.openxmlformats.org/spreadsheetml/2006/main" count="294" uniqueCount="132">
  <si>
    <t>GRILLE D'ANNOTATION — PRE-REMPLIE, A RELIRE</t>
  </si>
  <si>
    <t>Les colonnes bleues sont une PROPOSITION d'annotation, pas une reference humaine. Relisez chaque ligne : colonne G, mettez 'OK' si vous etes d'accord, ou 'Corrige' et modifiez directement la valeur bleue. Les 9 lignes marquees ambigu = oui sont celles qui meritent le plus votre attention. Comptez 10 a 15 minutes.</t>
  </si>
  <si>
    <t>id</t>
  </si>
  <si>
    <t>Message complet</t>
  </si>
  <si>
    <t>categorie_humaine</t>
  </si>
  <si>
    <t>urgence_humaine</t>
  </si>
  <si>
    <t>ambigu_oui_non</t>
  </si>
  <si>
    <t>commentaire</t>
  </si>
  <si>
    <t>revu</t>
  </si>
  <si>
    <t>Bonjour, nous sommes une mutuelle de 350 collaborateurs et souhaitons refondre notre parcours adherent digital. Notre espace en ligne date de 2018 et genere beaucoup d'appels au service client. Pouvons-nous convenir d'un echange cette semaine ?</t>
  </si>
  <si>
    <t>Commercial</t>
  </si>
  <si>
    <t>Moyenne</t>
  </si>
  <si>
    <t>non</t>
  </si>
  <si>
    <t>Prospect clair : besoin exprime + demande de rendez-vous.</t>
  </si>
  <si>
    <t>OK</t>
  </si>
  <si>
    <t>Cela fait trois semaines que j'attends le livrable de la phase 2, prevu le 15 septembre. Mes relances restent sans reponse. Le montant engage justifie un minimum de suivi.</t>
  </si>
  <si>
    <t>Reclamation</t>
  </si>
  <si>
    <t>Haute</t>
  </si>
  <si>
    <t>Retard de livrable + relances ignorees : insatisfaction explicite.</t>
  </si>
  <si>
    <t>Bonjour, je termine mon master en transformation digitale a Dauphine et je recherche une alternance a partir de septembre. Vous trouverez mon CV en piece jointe.</t>
  </si>
  <si>
    <t>Candidature</t>
  </si>
  <si>
    <t>Basse</t>
  </si>
  <si>
    <t>Recherche d'alternance, CV joint.</t>
  </si>
  <si>
    <t>Nous editons une solution de signature electronique conforme eIDAS pour le secteur bancaire. Nous cherchons des cabinets partenaires pour la deployer chez leurs clients. Seriez-vous ouverts a un echange ?</t>
  </si>
  <si>
    <t>Partenariat</t>
  </si>
  <si>
    <t>Editeur qui propose un deploiement via le cabinet.</t>
  </si>
  <si>
    <t>Suite a notre reunion de cadrage du 2 octobre, pouvez-vous me confirmer si le module de scoring est bien inclus dans le perimetre de la phase 3 ? Je ne le retrouve pas dans le compte rendu.</t>
  </si>
  <si>
    <t>Projet en cours</t>
  </si>
  <si>
    <t>Client existant, question de perimetre sur une phase en cours.</t>
  </si>
  <si>
    <t>Bonjour, j'ai une question.</t>
  </si>
  <si>
    <t>oui</t>
  </si>
  <si>
    <t>AUCUN signal exploitable. Commercial choisi par defaut (contact entrant). Cas type d'escalade.</t>
  </si>
  <si>
    <t>Nous lancons un appel d'offres pour l'accompagnement de notre programme de digitalisation des agences. Budget previsionnel 400 a 600 KEUR sur 18 mois. Pouvez-vous nous indiquer si vous souhaitez y repondre et sous quel delai ?</t>
  </si>
  <si>
    <t>Appel d'offres chiffre avec delai de reponse attendu.</t>
  </si>
  <si>
    <t>Votre consultant n'est pas venu a la reunion de lundi sans prevenir. C'est la deuxieme fois ce mois-ci. Nous payons des journees qui ne sont pas assurees.</t>
  </si>
  <si>
    <t>Prestation non assuree mais facturee, recidive signalee.</t>
  </si>
  <si>
    <t>Je vous ecris apres avoir vu votre intervention au salon Finance Innovation. Tres interessant. Je suis en veille active sur le sujet.</t>
  </si>
  <si>
    <t>Prospect tiede, aucune demande formulee. Frontiere avec 'rien a traiter'.</t>
  </si>
  <si>
    <t>Bonjour, nous sommes un editeur de solutions de qualite de donnees. Nous intervenons souvent en aval de missions de conseil comme les votres. Un partenariat de co-prescription vous interesserait-il ?</t>
  </si>
  <si>
    <t>Proposition de co-prescription entre editeur et cabinet.</t>
  </si>
  <si>
    <t>Pouvez-vous me renvoyer la derniere version du cahier des charges ? Celle que j'ai date du 12 septembre et je crois qu'il y a eu des modifications depuis.</t>
  </si>
  <si>
    <t>Demande documentaire sur une mission en cours.</t>
  </si>
  <si>
    <t>Bonjour, suite a l'annonce publiee sur LinkedIn pour le poste de consultant junior, je me permets de vous adresser ma candidature. Diplome de l'EDHEC, j'ai effectue deux stages en cabinet.</t>
  </si>
  <si>
    <t>Candidature suite a une annonce publiee.</t>
  </si>
  <si>
    <t>Nous cherchons un cabinet pour nous aider a structurer notre strategie data sur le perimetre assurance emprunteur. Avez-vous des references sur ce type de sujet ? Quelle serait votre approche ?</t>
  </si>
  <si>
    <t>Recherche de prestataire + demande de references et d'approche.</t>
  </si>
  <si>
    <t>Le rapport final contient plusieurs erreurs factuelles sur nos volumes de transactions. Nous l'avons transmis a notre comex avant de les reperer. Nous attendons une correction et des explications.</t>
  </si>
  <si>
    <t>Erreurs dans un livrable deja diffuse au comex : enjeu de credibilite.</t>
  </si>
  <si>
    <t>Bonjour, je suis actuellement consultante dans un cabinet concurrent et je souhaiterais echanger sur les opportunites chez vous. Mon profil : 5 ans d'experience en transformation digitale banque.</t>
  </si>
  <si>
    <t>Candidature spontanee d'une consultante concurrente.</t>
  </si>
  <si>
    <t>Est-ce que le poste de chef de projet qui etait ouvert chez vous est toujours disponible ? Je connais quelqu'un que cela pourrait interesser. Par ailleurs nous aurions peut-etre un besoin d'accompagnement l'an prochain.</t>
  </si>
  <si>
    <t>MELANGE deux intentions : question RH pour un tiers + besoin d'accompagnement futur. Cas type d'escalade.</t>
  </si>
  <si>
    <t>Bonjour, pourriez-vous me dire ou en est le dossier ?</t>
  </si>
  <si>
    <t>'Le dossier' non precise, mais contact client existant : suivi de mission.</t>
  </si>
  <si>
    <t>Nous sommes un cabinet de conseil specialise en conformite reglementaire. Nos perimetres sont complementaires aux votres. Nous proposons de nous rencontrer pour etudier des interventions conjointes sur des appels d'offres.</t>
  </si>
  <si>
    <t>Cabinet complementaire proposant des reponses conjointes aux AO.</t>
  </si>
  <si>
    <t>Je constate que la facture 2026-0847 nous a ete adressee avec un montant superieur de 12 000 euros au devis signe. Pouvez-vous m'expliquer d'ou vient cet ecart ?</t>
  </si>
  <si>
    <t>Ecart de facturation de 12 000 EUR par rapport au devis signe.</t>
  </si>
  <si>
    <t>Nous envisageons de lancer un chantier d'automatisation de notre back-office contrats. Nous en sommes au stade de la reflexion. Quels types de missions realisez-vous sur ce perimetre et quels sont vos tarifs indicatifs ?</t>
  </si>
  <si>
    <t>Projet au stade amont + demande de tarifs : qualification commerciale.</t>
  </si>
  <si>
    <t>Bonjour, je recherche un stage de fin d'etudes de 6 mois a partir de janvier dans le conseil. Je suis en Master 2 Management des Systemes d'Information a l'IAE.</t>
  </si>
  <si>
    <t>Recherche de stage de fin d'etudes.</t>
  </si>
  <si>
    <t>L'equipe projet a change trois fois de referent depuis le debut de la mission. Chaque changement nous coute une semaine de remise a niveau que nous payons. Cette situation n'est plus tenable.</t>
  </si>
  <si>
    <t>Rotation de referents facturee au client, ton de rupture.</t>
  </si>
  <si>
    <t>Suite au comite de pilotage, pouvez-vous me confirmer la date de livraison du prototype ? Mon directeur me demande un engagement ferme pour sa reunion de jeudi.</t>
  </si>
  <si>
    <t>Engagement de date attendu pour un comite a date fixe.</t>
  </si>
  <si>
    <t>Bonjour, nous proposons une plateforme d'hebergement souverain certifiee HDS et SecNumCloud. Vos clients banque et assurance ont souvent cette exigence. Pourrions-nous envisager un referencement croise ?</t>
  </si>
  <si>
    <t>Proposition de referencement croise.</t>
  </si>
  <si>
    <t>Bonjour, nous avons recu votre plaquette. Interessant. Je la transmets au comite de direction. Je reviendrai vers vous si besoin.</t>
  </si>
  <si>
    <t>Prospect froid, transmission interne en cours, pas de demande active.</t>
  </si>
  <si>
    <t>Nous souhaitons etre accompagnes sur le cadrage d'un programme de refonte de notre SI credit. Horizon de demarrage : premier trimestre 2027. Quelles sont vos disponibilites pour un premier rendez-vous ?</t>
  </si>
  <si>
    <t>Besoin de cadrage identifie + demande de rendez-vous.</t>
  </si>
  <si>
    <t>Bonjour, je suis developpeuse front-end avec 3 ans d'experience et je cherche a me reorienter vers le conseil. Recrutez-vous des profils en reconversion ?</t>
  </si>
  <si>
    <t>Candidature en reconversion.</t>
  </si>
  <si>
    <t>Le consultant qui intervient chez nous ne maitrise manifestement pas le secteur de l'assurance. Nous perdons du temps a lui expliquer des notions de base. Nous demandons son remplacement.</t>
  </si>
  <si>
    <t>Competence du consultant mise en cause, remplacement demande.</t>
  </si>
  <si>
    <t>Bonjour, nous avons identifie votre cabinet via une recommandation. Nous cherchons a moderniser notre dispositif de relation client haut de gamme. Pouvez-vous nous presenter vos references sur ce segment ?</t>
  </si>
  <si>
    <t>Entree par recommandation + demande de references sectorielles.</t>
  </si>
  <si>
    <t>Merci pour le document envoye hier. C'est note.</t>
  </si>
  <si>
    <t>Simple accuse de reception, AUCUNE demande. Rien a router : cas type d'escalade.</t>
  </si>
  <si>
    <t>Bonjour, dans le cadre de mon memoire de fin d'etudes sur l'IA dans le secteur bancaire, je souhaiterais interviewer un consultant de votre cabinet. Seriez-vous disponible pour un entretien de 45 minutes ?</t>
  </si>
  <si>
    <t>NE RENTRE DANS AUCUNE des 5 categories : sollicitation academique. Partenariat retenu comme le moins faux.</t>
  </si>
  <si>
    <t>Nous avons un probleme sur l'environnement de recette que vous avez livre. Les donnees de test ne correspondent pas a notre referentiel. Qui peut intervenir rapidement ?</t>
  </si>
  <si>
    <t>FRONTIERE Projet en cours / Reclamation : defaut sur un livrable mais ton operationnel, sans insatisfaction exprimee.</t>
  </si>
  <si>
    <t>Je fais suite a notre conversation telephonique de la semaine derniere. Comme convenu, je vous confirme notre interet pour une proposition commerciale sur le volet formation des equipes.</t>
  </si>
  <si>
    <t>Confirmation d'interet pour une proposition commerciale a venir.</t>
  </si>
  <si>
    <t>Bonjour, auriez-vous des informations ?</t>
  </si>
  <si>
    <t>AUCUN signal exploitable. Commercial par defaut. Cas type d'escalade.</t>
  </si>
  <si>
    <t>Nous organisons un cycle de conferences sur l'IA generative dans la finance. Nous cherchons des intervenants experts. Un de vos associes serait-il interesse pour une table ronde en mars ?</t>
  </si>
  <si>
    <t>Invitation a intervenir en conference : collaboration ponctuelle, pas un partenariat commercial.</t>
  </si>
  <si>
    <t>Les ateliers prevus dans la phase de cadrage n'ont jamais eu lieu alors qu'ils sont factures dans le forfait. Nous demandons soit leur realisation soit un avoir correspondant.</t>
  </si>
  <si>
    <t>Prestations facturees non realisees, avoir demande.</t>
  </si>
  <si>
    <t>Bonjour, je reprends le dossier suite au depart de ma collegue. Pouvez-vous me faire un point complet sur l'etat d'avancement de la mission et les prochaines echeances ?</t>
  </si>
  <si>
    <t>Reprise de dossier, demande de point d'avancement.</t>
  </si>
  <si>
    <t>Je suis interesse par vos services. Pouvez-vous me rappeler ?</t>
  </si>
  <si>
    <t>Interet explicite pour les services + demande de rappel.</t>
  </si>
  <si>
    <t>Nous souhaitons benchmarker trois cabinets avant de lancer notre consultation. Accepteriez-vous de nous presenter votre methodologie et deux cas clients comparables lors d'un rendez-vous d'une heure ?</t>
  </si>
  <si>
    <t>Mise en concurrence formalisee, demande de soutenance.</t>
  </si>
  <si>
    <t>Bonjour, votre nom m'a ete donne par Marc Dupuis. Il m'a dit que vous pourriez m'aider. Je suis joignable au numero ci-dessus.</t>
  </si>
  <si>
    <t>Recommandation entrante mais besoin NON exprime. Frontiere avec l'escalade.</t>
  </si>
  <si>
    <t>SUIVI DE LA RELECTURE</t>
  </si>
  <si>
    <t>Se met a jour pendant que vous remplissez la colonne 'revu'.</t>
  </si>
  <si>
    <t>Demandes au total</t>
  </si>
  <si>
    <t>Lignes relues</t>
  </si>
  <si>
    <t>Restant a relire</t>
  </si>
  <si>
    <t>Dont corrigees par vous</t>
  </si>
  <si>
    <t>Repartition par categorie</t>
  </si>
  <si>
    <t>Urgence Haute</t>
  </si>
  <si>
    <t>Urgence Moyenne</t>
  </si>
  <si>
    <t>Urgence Basse</t>
  </si>
  <si>
    <t>Demandes jugees ambigues</t>
  </si>
  <si>
    <t>Escalades attendues (seuil 60)</t>
  </si>
  <si>
    <t>Les 9 lignes ambigues sont celles ou l'IA devrait renvoyer une confiance basse.</t>
  </si>
  <si>
    <t>CE QUE CETTE GRILLE EST, ET CE QU'ELLE N'EST PAS</t>
  </si>
  <si>
    <t>Origine des valeurs bleues</t>
  </si>
  <si>
    <t>Elles ont ete proposees par Claude (modele de langage), pas par un annotateur humain. Tant que vous ne les avez pas relues, le jeu de test ne constitue PAS une reference humaine.</t>
  </si>
  <si>
    <t>Ce qu'il faut ecrire dans le README</t>
  </si>
  <si>
    <t>Si vous validez sans relire : 'accord entre deux modeles de langage' — et non 'taux de routage correct valide par annotation humaine'. Si vous relisez et corrigez : 'annotation assistee, relue et arbitree manuellement', en precisant que la pre-annotation a pu influencer la relecture (biais d'ancrage, Tversky &amp; Kahneman, Science, 1974, 185(4157), 1124-1131).</t>
  </si>
  <si>
    <t>Ou concentrer la relecture</t>
  </si>
  <si>
    <t>Les 9 lignes dont la colonne ambigu vaut oui (id surligne en orange) : 6, 9, 16, 30, 31, 32, 34, 35, 40. Ce sont les cas limites, et ce sont eux qui determineront si le seuil d'escalade de 60 est bien calibre.</t>
  </si>
  <si>
    <t>Les desaccords sont la matiere utile</t>
  </si>
  <si>
    <t>Une ligne que vous corrigez vaut plus qu'une ligne validee : elle documente une frontiere de categorie que le prompt ne separe pas assez nettement. Notez pourquoi dans la colonne commentaire.</t>
  </si>
  <si>
    <t>DEFINITION DES CATEGORIES</t>
  </si>
  <si>
    <t>Prospect qui cherche un accompagnement, un devis, une information commerciale, un rendez-vous.</t>
  </si>
  <si>
    <t>Client existant qui pose une question sur une mission en cours.</t>
  </si>
  <si>
    <t>Insatisfaction exprimee sur un delai, une livraison, une facture, un comportement.</t>
  </si>
  <si>
    <t>Editeur, integrateur, freelance ou cabinet qui propose une collaboration.</t>
  </si>
  <si>
    <t>Recherche d'emploi, de stage, d'alternance, envoi de CV.</t>
  </si>
  <si>
    <t>URGENCE</t>
  </si>
  <si>
    <t>Echeance proche, insatisfaction forte, enjeu financier immediat.</t>
  </si>
  <si>
    <t>Demande normale, a traiter dans les delais habituels.</t>
  </si>
  <si>
    <t>Informationnel, pas d'echeance, aucun enjeu immediat.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</si>
</sst>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 _€_-;\-* #,##0.00\ _€_-;_-* &quot;-&quot;??\ _€_-;_-@_-"/>
    <numFmt numFmtId="177" formatCode="_-* #,##0.00\ &quot;€&quot;_-;\-* #,##0.00\ &quot;€&quot;_-;_-* &quot;-&quot;??\ &quot;€&quot;_-;_-@_-"/>
    <numFmt numFmtId="178" formatCode="_-* #,##0\ _€_-;\-* #,##0\ _€_-;_-* &quot;-&quot;\ _€_-;_-@_-"/>
    <numFmt numFmtId="179" formatCode="_-* #,##0\ &quot;€&quot;_-;\-* #,##0\ &quot;€&quot;_-;_-* &quot;-&quot;\ &quot;€&quot;_-;_-@_-"/>
  </numFmts>
  <fonts count="27">
    <font>
      <sz val="11"/>
      <color theme="1"/>
      <name val="Calibri"/>
      <charset val="1"/>
    </font>
    <font>
      <b/>
      <sz val="12"/>
      <name val="Arial"/>
      <charset val="1"/>
    </font>
    <font>
      <b/>
      <sz val="10"/>
      <name val="Arial"/>
      <charset val="1"/>
    </font>
    <font>
      <sz val="10"/>
      <name val="Arial"/>
      <charset val="1"/>
    </font>
    <font>
      <b/>
      <sz val="11"/>
      <name val="Arial"/>
      <charset val="1"/>
    </font>
    <font>
      <i/>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D9D9D9"/>
        <bgColor rgb="FFDDEBF7"/>
      </patternFill>
    </fill>
    <fill>
      <patternFill patternType="solid">
        <fgColor rgb="FFDDEBF7"/>
        <bgColor rgb="FFD9D9D9"/>
      </patternFill>
    </fill>
    <fill>
      <patternFill patternType="solid">
        <fgColor rgb="FFFFFF99"/>
        <bgColor rgb="FFFCE4D6"/>
      </patternFill>
    </fill>
    <fill>
      <patternFill patternType="solid">
        <fgColor rgb="FFFCE4D6"/>
        <bgColor rgb="FFDDEB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Border="0" applyAlignment="0" applyProtection="0"/>
    <xf numFmtId="177" fontId="6" fillId="0" borderId="0" applyBorder="0" applyAlignment="0" applyProtection="0"/>
    <xf numFmtId="9" fontId="6" fillId="0" borderId="0" applyBorder="0" applyAlignment="0" applyProtection="0"/>
    <xf numFmtId="178" fontId="6" fillId="0" borderId="0" applyBorder="0" applyAlignment="0" applyProtection="0"/>
    <xf numFmtId="179" fontId="6" fillId="0" borderId="0" applyBorder="0" applyAlignment="0" applyProtection="0"/>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6"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7" borderId="5" applyNumberFormat="0" applyAlignment="0" applyProtection="0">
      <alignment vertical="center"/>
    </xf>
    <xf numFmtId="0" fontId="17" fillId="8" borderId="6" applyNumberFormat="0" applyAlignment="0" applyProtection="0">
      <alignment vertical="center"/>
    </xf>
    <xf numFmtId="0" fontId="18" fillId="8" borderId="5" applyNumberFormat="0" applyAlignment="0" applyProtection="0">
      <alignment vertical="center"/>
    </xf>
    <xf numFmtId="0" fontId="19" fillId="9"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1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5" fillId="0" borderId="0" xfId="0" applyFont="1"/>
    <xf numFmtId="0" fontId="3" fillId="0" borderId="0" xfId="0" applyFont="1" applyAlignment="1">
      <alignment horizontal="center"/>
    </xf>
    <xf numFmtId="0" fontId="5" fillId="0" borderId="0" xfId="0" applyFont="1" applyBorder="1" applyAlignment="1">
      <alignment vertical="top"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top"/>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horizontal="center" vertical="top"/>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CE4D6"/>
      <rgbColor rgb="00DDEBF7"/>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tabSelected="1" workbookViewId="0">
      <pane ySplit="4" topLeftCell="A25" activePane="bottomLeft" state="frozen"/>
      <selection/>
      <selection pane="bottomLeft" activeCell="A1" sqref="A1"/>
    </sheetView>
  </sheetViews>
  <sheetFormatPr defaultColWidth="8.67592592592593" defaultRowHeight="14.4" outlineLevelCol="6"/>
  <cols>
    <col min="1" max="1" width="6" customWidth="1"/>
    <col min="2" max="2" width="58" customWidth="1"/>
    <col min="3" max="3" width="19" customWidth="1"/>
    <col min="4" max="4" width="16" customWidth="1"/>
    <col min="5" max="5" width="15" customWidth="1"/>
    <col min="6" max="6" width="46" customWidth="1"/>
    <col min="7" max="7" width="13" customWidth="1"/>
  </cols>
  <sheetData>
    <row r="1" ht="15.6" spans="1:7">
      <c r="A1" s="1" t="s">
        <v>0</v>
      </c>
    </row>
    <row r="2" ht="43.5" customHeight="1" spans="1:7">
      <c r="A2" s="8" t="s">
        <v>1</v>
      </c>
      <c r="B2" s="8"/>
      <c r="C2" s="8"/>
      <c r="D2" s="8"/>
      <c r="E2" s="8"/>
      <c r="F2" s="8"/>
      <c r="G2" s="8"/>
    </row>
    <row r="4" ht="26.4" spans="1:7">
      <c r="A4" s="9" t="s">
        <v>2</v>
      </c>
      <c r="B4" s="9" t="s">
        <v>3</v>
      </c>
      <c r="C4" s="9" t="s">
        <v>4</v>
      </c>
      <c r="D4" s="9" t="s">
        <v>5</v>
      </c>
      <c r="E4" s="9" t="s">
        <v>6</v>
      </c>
      <c r="F4" s="9" t="s">
        <v>7</v>
      </c>
      <c r="G4" s="9" t="s">
        <v>8</v>
      </c>
    </row>
    <row r="5" ht="51.75" customHeight="1" spans="1:7">
      <c r="A5" s="10">
        <v>1</v>
      </c>
      <c r="B5" s="11" t="s">
        <v>9</v>
      </c>
      <c r="C5" s="12" t="s">
        <v>10</v>
      </c>
      <c r="D5" s="12" t="s">
        <v>11</v>
      </c>
      <c r="E5" s="12" t="s">
        <v>12</v>
      </c>
      <c r="F5" s="11" t="s">
        <v>13</v>
      </c>
      <c r="G5" s="13" t="s">
        <v>14</v>
      </c>
    </row>
    <row r="6" ht="51.75" customHeight="1" spans="1:7">
      <c r="A6" s="10">
        <v>2</v>
      </c>
      <c r="B6" s="11" t="s">
        <v>15</v>
      </c>
      <c r="C6" s="12" t="s">
        <v>16</v>
      </c>
      <c r="D6" s="12" t="s">
        <v>17</v>
      </c>
      <c r="E6" s="12" t="s">
        <v>12</v>
      </c>
      <c r="F6" s="11" t="s">
        <v>18</v>
      </c>
      <c r="G6" s="13" t="s">
        <v>14</v>
      </c>
    </row>
    <row r="7" ht="51.75" customHeight="1" spans="1:7">
      <c r="A7" s="10">
        <v>3</v>
      </c>
      <c r="B7" s="11" t="s">
        <v>19</v>
      </c>
      <c r="C7" s="12" t="s">
        <v>20</v>
      </c>
      <c r="D7" s="12" t="s">
        <v>21</v>
      </c>
      <c r="E7" s="12" t="s">
        <v>12</v>
      </c>
      <c r="F7" s="11" t="s">
        <v>22</v>
      </c>
      <c r="G7" s="13" t="s">
        <v>14</v>
      </c>
    </row>
    <row r="8" ht="51.75" customHeight="1" spans="1:7">
      <c r="A8" s="10">
        <v>4</v>
      </c>
      <c r="B8" s="11" t="s">
        <v>23</v>
      </c>
      <c r="C8" s="12" t="s">
        <v>24</v>
      </c>
      <c r="D8" s="12" t="s">
        <v>21</v>
      </c>
      <c r="E8" s="12" t="s">
        <v>12</v>
      </c>
      <c r="F8" s="11" t="s">
        <v>25</v>
      </c>
      <c r="G8" s="13" t="s">
        <v>14</v>
      </c>
    </row>
    <row r="9" ht="51.75" customHeight="1" spans="1:7">
      <c r="A9" s="10">
        <v>5</v>
      </c>
      <c r="B9" s="11" t="s">
        <v>26</v>
      </c>
      <c r="C9" s="12" t="s">
        <v>27</v>
      </c>
      <c r="D9" s="12" t="s">
        <v>11</v>
      </c>
      <c r="E9" s="12" t="s">
        <v>12</v>
      </c>
      <c r="F9" s="11" t="s">
        <v>28</v>
      </c>
      <c r="G9" s="13" t="s">
        <v>14</v>
      </c>
    </row>
    <row r="10" ht="51.75" customHeight="1" spans="1:7">
      <c r="A10" s="14">
        <v>6</v>
      </c>
      <c r="B10" s="11" t="s">
        <v>29</v>
      </c>
      <c r="C10" s="12" t="s">
        <v>10</v>
      </c>
      <c r="D10" s="12" t="s">
        <v>21</v>
      </c>
      <c r="E10" s="12" t="s">
        <v>30</v>
      </c>
      <c r="F10" s="11" t="s">
        <v>31</v>
      </c>
      <c r="G10" s="13" t="s">
        <v>14</v>
      </c>
    </row>
    <row r="11" ht="51.75" customHeight="1" spans="1:7">
      <c r="A11" s="10">
        <v>7</v>
      </c>
      <c r="B11" s="11" t="s">
        <v>32</v>
      </c>
      <c r="C11" s="12" t="s">
        <v>10</v>
      </c>
      <c r="D11" s="12" t="s">
        <v>17</v>
      </c>
      <c r="E11" s="12" t="s">
        <v>12</v>
      </c>
      <c r="F11" s="11" t="s">
        <v>33</v>
      </c>
      <c r="G11" s="13" t="s">
        <v>14</v>
      </c>
    </row>
    <row r="12" ht="51.75" customHeight="1" spans="1:7">
      <c r="A12" s="10">
        <v>8</v>
      </c>
      <c r="B12" s="11" t="s">
        <v>34</v>
      </c>
      <c r="C12" s="12" t="s">
        <v>16</v>
      </c>
      <c r="D12" s="12" t="s">
        <v>17</v>
      </c>
      <c r="E12" s="12" t="s">
        <v>12</v>
      </c>
      <c r="F12" s="11" t="s">
        <v>35</v>
      </c>
      <c r="G12" s="13" t="s">
        <v>14</v>
      </c>
    </row>
    <row r="13" ht="51.75" customHeight="1" spans="1:7">
      <c r="A13" s="14">
        <v>9</v>
      </c>
      <c r="B13" s="11" t="s">
        <v>36</v>
      </c>
      <c r="C13" s="12" t="s">
        <v>10</v>
      </c>
      <c r="D13" s="12" t="s">
        <v>21</v>
      </c>
      <c r="E13" s="12" t="s">
        <v>30</v>
      </c>
      <c r="F13" s="11" t="s">
        <v>37</v>
      </c>
      <c r="G13" s="13" t="s">
        <v>14</v>
      </c>
    </row>
    <row r="14" ht="51.75" customHeight="1" spans="1:7">
      <c r="A14" s="10">
        <v>10</v>
      </c>
      <c r="B14" s="11" t="s">
        <v>38</v>
      </c>
      <c r="C14" s="12" t="s">
        <v>24</v>
      </c>
      <c r="D14" s="12" t="s">
        <v>21</v>
      </c>
      <c r="E14" s="12" t="s">
        <v>12</v>
      </c>
      <c r="F14" s="11" t="s">
        <v>39</v>
      </c>
      <c r="G14" s="13" t="s">
        <v>14</v>
      </c>
    </row>
    <row r="15" ht="51.75" customHeight="1" spans="1:7">
      <c r="A15" s="10">
        <v>11</v>
      </c>
      <c r="B15" s="11" t="s">
        <v>40</v>
      </c>
      <c r="C15" s="12" t="s">
        <v>27</v>
      </c>
      <c r="D15" s="12" t="s">
        <v>11</v>
      </c>
      <c r="E15" s="12" t="s">
        <v>12</v>
      </c>
      <c r="F15" s="11" t="s">
        <v>41</v>
      </c>
      <c r="G15" s="13" t="s">
        <v>14</v>
      </c>
    </row>
    <row r="16" ht="51.75" customHeight="1" spans="1:7">
      <c r="A16" s="10">
        <v>12</v>
      </c>
      <c r="B16" s="11" t="s">
        <v>42</v>
      </c>
      <c r="C16" s="12" t="s">
        <v>20</v>
      </c>
      <c r="D16" s="12" t="s">
        <v>21</v>
      </c>
      <c r="E16" s="12" t="s">
        <v>12</v>
      </c>
      <c r="F16" s="11" t="s">
        <v>43</v>
      </c>
      <c r="G16" s="13" t="s">
        <v>14</v>
      </c>
    </row>
    <row r="17" ht="51.75" customHeight="1" spans="1:7">
      <c r="A17" s="10">
        <v>13</v>
      </c>
      <c r="B17" s="11" t="s">
        <v>44</v>
      </c>
      <c r="C17" s="12" t="s">
        <v>10</v>
      </c>
      <c r="D17" s="12" t="s">
        <v>11</v>
      </c>
      <c r="E17" s="12" t="s">
        <v>12</v>
      </c>
      <c r="F17" s="11" t="s">
        <v>45</v>
      </c>
      <c r="G17" s="13" t="s">
        <v>14</v>
      </c>
    </row>
    <row r="18" ht="51.75" customHeight="1" spans="1:7">
      <c r="A18" s="10">
        <v>14</v>
      </c>
      <c r="B18" s="11" t="s">
        <v>46</v>
      </c>
      <c r="C18" s="12" t="s">
        <v>16</v>
      </c>
      <c r="D18" s="12" t="s">
        <v>17</v>
      </c>
      <c r="E18" s="12" t="s">
        <v>12</v>
      </c>
      <c r="F18" s="11" t="s">
        <v>47</v>
      </c>
      <c r="G18" s="13" t="s">
        <v>14</v>
      </c>
    </row>
    <row r="19" ht="51.75" customHeight="1" spans="1:7">
      <c r="A19" s="10">
        <v>15</v>
      </c>
      <c r="B19" s="11" t="s">
        <v>48</v>
      </c>
      <c r="C19" s="12" t="s">
        <v>20</v>
      </c>
      <c r="D19" s="12" t="s">
        <v>21</v>
      </c>
      <c r="E19" s="12" t="s">
        <v>12</v>
      </c>
      <c r="F19" s="11" t="s">
        <v>49</v>
      </c>
      <c r="G19" s="13" t="s">
        <v>14</v>
      </c>
    </row>
    <row r="20" ht="51.75" customHeight="1" spans="1:7">
      <c r="A20" s="14">
        <v>16</v>
      </c>
      <c r="B20" s="11" t="s">
        <v>50</v>
      </c>
      <c r="C20" s="12" t="s">
        <v>10</v>
      </c>
      <c r="D20" s="12" t="s">
        <v>21</v>
      </c>
      <c r="E20" s="12" t="s">
        <v>30</v>
      </c>
      <c r="F20" s="11" t="s">
        <v>51</v>
      </c>
      <c r="G20" s="13" t="s">
        <v>14</v>
      </c>
    </row>
    <row r="21" ht="51.75" customHeight="1" spans="1:7">
      <c r="A21" s="10">
        <v>17</v>
      </c>
      <c r="B21" s="11" t="s">
        <v>52</v>
      </c>
      <c r="C21" s="12" t="s">
        <v>27</v>
      </c>
      <c r="D21" s="12" t="s">
        <v>11</v>
      </c>
      <c r="E21" s="12" t="s">
        <v>12</v>
      </c>
      <c r="F21" s="11" t="s">
        <v>53</v>
      </c>
      <c r="G21" s="13" t="s">
        <v>14</v>
      </c>
    </row>
    <row r="22" ht="51.75" customHeight="1" spans="1:7">
      <c r="A22" s="10">
        <v>18</v>
      </c>
      <c r="B22" s="11" t="s">
        <v>54</v>
      </c>
      <c r="C22" s="12" t="s">
        <v>24</v>
      </c>
      <c r="D22" s="12" t="s">
        <v>21</v>
      </c>
      <c r="E22" s="12" t="s">
        <v>12</v>
      </c>
      <c r="F22" s="11" t="s">
        <v>55</v>
      </c>
      <c r="G22" s="13" t="s">
        <v>14</v>
      </c>
    </row>
    <row r="23" ht="51.75" customHeight="1" spans="1:7">
      <c r="A23" s="10">
        <v>19</v>
      </c>
      <c r="B23" s="11" t="s">
        <v>56</v>
      </c>
      <c r="C23" s="12" t="s">
        <v>16</v>
      </c>
      <c r="D23" s="12" t="s">
        <v>17</v>
      </c>
      <c r="E23" s="12" t="s">
        <v>12</v>
      </c>
      <c r="F23" s="11" t="s">
        <v>57</v>
      </c>
      <c r="G23" s="13" t="s">
        <v>14</v>
      </c>
    </row>
    <row r="24" ht="51.75" customHeight="1" spans="1:7">
      <c r="A24" s="10">
        <v>20</v>
      </c>
      <c r="B24" s="11" t="s">
        <v>58</v>
      </c>
      <c r="C24" s="12" t="s">
        <v>10</v>
      </c>
      <c r="D24" s="12" t="s">
        <v>11</v>
      </c>
      <c r="E24" s="12" t="s">
        <v>12</v>
      </c>
      <c r="F24" s="11" t="s">
        <v>59</v>
      </c>
      <c r="G24" s="13" t="s">
        <v>14</v>
      </c>
    </row>
    <row r="25" ht="51.75" customHeight="1" spans="1:7">
      <c r="A25" s="10">
        <v>21</v>
      </c>
      <c r="B25" s="11" t="s">
        <v>60</v>
      </c>
      <c r="C25" s="12" t="s">
        <v>20</v>
      </c>
      <c r="D25" s="12" t="s">
        <v>21</v>
      </c>
      <c r="E25" s="12" t="s">
        <v>12</v>
      </c>
      <c r="F25" s="11" t="s">
        <v>61</v>
      </c>
      <c r="G25" s="13" t="s">
        <v>14</v>
      </c>
    </row>
    <row r="26" ht="51.75" customHeight="1" spans="1:7">
      <c r="A26" s="10">
        <v>22</v>
      </c>
      <c r="B26" s="11" t="s">
        <v>62</v>
      </c>
      <c r="C26" s="12" t="s">
        <v>16</v>
      </c>
      <c r="D26" s="12" t="s">
        <v>17</v>
      </c>
      <c r="E26" s="12" t="s">
        <v>12</v>
      </c>
      <c r="F26" s="11" t="s">
        <v>63</v>
      </c>
      <c r="G26" s="13" t="s">
        <v>14</v>
      </c>
    </row>
    <row r="27" ht="51.75" customHeight="1" spans="1:7">
      <c r="A27" s="10">
        <v>23</v>
      </c>
      <c r="B27" s="11" t="s">
        <v>64</v>
      </c>
      <c r="C27" s="12" t="s">
        <v>27</v>
      </c>
      <c r="D27" s="12" t="s">
        <v>17</v>
      </c>
      <c r="E27" s="12" t="s">
        <v>12</v>
      </c>
      <c r="F27" s="11" t="s">
        <v>65</v>
      </c>
      <c r="G27" s="13" t="s">
        <v>14</v>
      </c>
    </row>
    <row r="28" ht="51.75" customHeight="1" spans="1:7">
      <c r="A28" s="10">
        <v>24</v>
      </c>
      <c r="B28" s="11" t="s">
        <v>66</v>
      </c>
      <c r="C28" s="12" t="s">
        <v>24</v>
      </c>
      <c r="D28" s="12" t="s">
        <v>21</v>
      </c>
      <c r="E28" s="12" t="s">
        <v>12</v>
      </c>
      <c r="F28" s="11" t="s">
        <v>67</v>
      </c>
      <c r="G28" s="13" t="s">
        <v>14</v>
      </c>
    </row>
    <row r="29" ht="51.75" customHeight="1" spans="1:7">
      <c r="A29" s="10">
        <v>25</v>
      </c>
      <c r="B29" s="11" t="s">
        <v>68</v>
      </c>
      <c r="C29" s="12" t="s">
        <v>10</v>
      </c>
      <c r="D29" s="12" t="s">
        <v>21</v>
      </c>
      <c r="E29" s="12" t="s">
        <v>12</v>
      </c>
      <c r="F29" s="11" t="s">
        <v>69</v>
      </c>
      <c r="G29" s="13" t="s">
        <v>14</v>
      </c>
    </row>
    <row r="30" ht="51.75" customHeight="1" spans="1:7">
      <c r="A30" s="10">
        <v>26</v>
      </c>
      <c r="B30" s="11" t="s">
        <v>70</v>
      </c>
      <c r="C30" s="12" t="s">
        <v>10</v>
      </c>
      <c r="D30" s="12" t="s">
        <v>11</v>
      </c>
      <c r="E30" s="12" t="s">
        <v>12</v>
      </c>
      <c r="F30" s="11" t="s">
        <v>71</v>
      </c>
      <c r="G30" s="13" t="s">
        <v>14</v>
      </c>
    </row>
    <row r="31" ht="51.75" customHeight="1" spans="1:7">
      <c r="A31" s="10">
        <v>27</v>
      </c>
      <c r="B31" s="11" t="s">
        <v>72</v>
      </c>
      <c r="C31" s="12" t="s">
        <v>20</v>
      </c>
      <c r="D31" s="12" t="s">
        <v>21</v>
      </c>
      <c r="E31" s="12" t="s">
        <v>12</v>
      </c>
      <c r="F31" s="11" t="s">
        <v>73</v>
      </c>
      <c r="G31" s="13" t="s">
        <v>14</v>
      </c>
    </row>
    <row r="32" ht="51.75" customHeight="1" spans="1:7">
      <c r="A32" s="10">
        <v>28</v>
      </c>
      <c r="B32" s="11" t="s">
        <v>74</v>
      </c>
      <c r="C32" s="12" t="s">
        <v>16</v>
      </c>
      <c r="D32" s="12" t="s">
        <v>17</v>
      </c>
      <c r="E32" s="12" t="s">
        <v>12</v>
      </c>
      <c r="F32" s="11" t="s">
        <v>75</v>
      </c>
      <c r="G32" s="13" t="s">
        <v>14</v>
      </c>
    </row>
    <row r="33" ht="51.75" customHeight="1" spans="1:7">
      <c r="A33" s="10">
        <v>29</v>
      </c>
      <c r="B33" s="11" t="s">
        <v>76</v>
      </c>
      <c r="C33" s="12" t="s">
        <v>10</v>
      </c>
      <c r="D33" s="12" t="s">
        <v>11</v>
      </c>
      <c r="E33" s="12" t="s">
        <v>12</v>
      </c>
      <c r="F33" s="11" t="s">
        <v>77</v>
      </c>
      <c r="G33" s="13" t="s">
        <v>14</v>
      </c>
    </row>
    <row r="34" ht="51.75" customHeight="1" spans="1:7">
      <c r="A34" s="14">
        <v>30</v>
      </c>
      <c r="B34" s="11" t="s">
        <v>78</v>
      </c>
      <c r="C34" s="12" t="s">
        <v>27</v>
      </c>
      <c r="D34" s="12" t="s">
        <v>21</v>
      </c>
      <c r="E34" s="12" t="s">
        <v>30</v>
      </c>
      <c r="F34" s="11" t="s">
        <v>79</v>
      </c>
      <c r="G34" s="13" t="s">
        <v>14</v>
      </c>
    </row>
    <row r="35" ht="51.75" customHeight="1" spans="1:7">
      <c r="A35" s="14">
        <v>31</v>
      </c>
      <c r="B35" s="11" t="s">
        <v>80</v>
      </c>
      <c r="C35" s="12" t="s">
        <v>24</v>
      </c>
      <c r="D35" s="12" t="s">
        <v>21</v>
      </c>
      <c r="E35" s="12" t="s">
        <v>30</v>
      </c>
      <c r="F35" s="11" t="s">
        <v>81</v>
      </c>
      <c r="G35" s="13" t="s">
        <v>14</v>
      </c>
    </row>
    <row r="36" ht="51.75" customHeight="1" spans="1:7">
      <c r="A36" s="14">
        <v>32</v>
      </c>
      <c r="B36" s="11" t="s">
        <v>82</v>
      </c>
      <c r="C36" s="12" t="s">
        <v>27</v>
      </c>
      <c r="D36" s="12" t="s">
        <v>17</v>
      </c>
      <c r="E36" s="12" t="s">
        <v>30</v>
      </c>
      <c r="F36" s="11" t="s">
        <v>83</v>
      </c>
      <c r="G36" s="13" t="s">
        <v>14</v>
      </c>
    </row>
    <row r="37" ht="51.75" customHeight="1" spans="1:7">
      <c r="A37" s="10">
        <v>33</v>
      </c>
      <c r="B37" s="11" t="s">
        <v>84</v>
      </c>
      <c r="C37" s="12" t="s">
        <v>10</v>
      </c>
      <c r="D37" s="12" t="s">
        <v>11</v>
      </c>
      <c r="E37" s="12" t="s">
        <v>12</v>
      </c>
      <c r="F37" s="11" t="s">
        <v>85</v>
      </c>
      <c r="G37" s="13" t="s">
        <v>14</v>
      </c>
    </row>
    <row r="38" ht="51.75" customHeight="1" spans="1:7">
      <c r="A38" s="14">
        <v>34</v>
      </c>
      <c r="B38" s="11" t="s">
        <v>86</v>
      </c>
      <c r="C38" s="12" t="s">
        <v>10</v>
      </c>
      <c r="D38" s="12" t="s">
        <v>21</v>
      </c>
      <c r="E38" s="12" t="s">
        <v>30</v>
      </c>
      <c r="F38" s="11" t="s">
        <v>87</v>
      </c>
      <c r="G38" s="13" t="s">
        <v>14</v>
      </c>
    </row>
    <row r="39" ht="51.75" customHeight="1" spans="1:7">
      <c r="A39" s="14">
        <v>35</v>
      </c>
      <c r="B39" s="11" t="s">
        <v>88</v>
      </c>
      <c r="C39" s="12" t="s">
        <v>24</v>
      </c>
      <c r="D39" s="12" t="s">
        <v>21</v>
      </c>
      <c r="E39" s="12" t="s">
        <v>30</v>
      </c>
      <c r="F39" s="11" t="s">
        <v>89</v>
      </c>
      <c r="G39" s="13" t="s">
        <v>14</v>
      </c>
    </row>
    <row r="40" ht="51.75" customHeight="1" spans="1:7">
      <c r="A40" s="10">
        <v>36</v>
      </c>
      <c r="B40" s="11" t="s">
        <v>90</v>
      </c>
      <c r="C40" s="12" t="s">
        <v>16</v>
      </c>
      <c r="D40" s="12" t="s">
        <v>17</v>
      </c>
      <c r="E40" s="12" t="s">
        <v>12</v>
      </c>
      <c r="F40" s="11" t="s">
        <v>91</v>
      </c>
      <c r="G40" s="13" t="s">
        <v>14</v>
      </c>
    </row>
    <row r="41" ht="51.75" customHeight="1" spans="1:7">
      <c r="A41" s="10">
        <v>37</v>
      </c>
      <c r="B41" s="11" t="s">
        <v>92</v>
      </c>
      <c r="C41" s="12" t="s">
        <v>27</v>
      </c>
      <c r="D41" s="12" t="s">
        <v>11</v>
      </c>
      <c r="E41" s="12" t="s">
        <v>12</v>
      </c>
      <c r="F41" s="11" t="s">
        <v>93</v>
      </c>
      <c r="G41" s="13" t="s">
        <v>14</v>
      </c>
    </row>
    <row r="42" ht="51.75" customHeight="1" spans="1:7">
      <c r="A42" s="10">
        <v>38</v>
      </c>
      <c r="B42" s="11" t="s">
        <v>94</v>
      </c>
      <c r="C42" s="12" t="s">
        <v>10</v>
      </c>
      <c r="D42" s="12" t="s">
        <v>11</v>
      </c>
      <c r="E42" s="12" t="s">
        <v>12</v>
      </c>
      <c r="F42" s="11" t="s">
        <v>95</v>
      </c>
      <c r="G42" s="13" t="s">
        <v>14</v>
      </c>
    </row>
    <row r="43" ht="51.75" customHeight="1" spans="1:7">
      <c r="A43" s="10">
        <v>39</v>
      </c>
      <c r="B43" s="11" t="s">
        <v>96</v>
      </c>
      <c r="C43" s="12" t="s">
        <v>10</v>
      </c>
      <c r="D43" s="12" t="s">
        <v>11</v>
      </c>
      <c r="E43" s="12" t="s">
        <v>12</v>
      </c>
      <c r="F43" s="11" t="s">
        <v>97</v>
      </c>
      <c r="G43" s="13" t="s">
        <v>14</v>
      </c>
    </row>
    <row r="44" ht="51.75" customHeight="1" spans="1:7">
      <c r="A44" s="14">
        <v>40</v>
      </c>
      <c r="B44" s="11" t="s">
        <v>98</v>
      </c>
      <c r="C44" s="12" t="s">
        <v>10</v>
      </c>
      <c r="D44" s="12" t="s">
        <v>11</v>
      </c>
      <c r="E44" s="12" t="s">
        <v>30</v>
      </c>
      <c r="F44" s="11" t="s">
        <v>99</v>
      </c>
      <c r="G44" s="13" t="s">
        <v>14</v>
      </c>
    </row>
  </sheetData>
  <mergeCells count="1">
    <mergeCell ref="A2:G2"/>
  </mergeCells>
  <dataValidations count="4">
    <dataValidation type="list" allowBlank="1" errorTitle="Valeur non autorisee" error="Choisir une categorie dans la liste." sqref="C5:C44">
      <formula1>"Commercial,Projet en cours,Reclamation,Partenariat,Candidature"</formula1>
    </dataValidation>
    <dataValidation type="list" allowBlank="1" errorTitle="Valeur non autorisee" error="Choisir une urgence dans la liste." sqref="D5:D44">
      <formula1>"Haute,Moyenne,Basse"</formula1>
    </dataValidation>
    <dataValidation type="list" allowBlank="1" errorTitle="Valeur non autorisee" error="Choisir oui ou non." sqref="E5:E44">
      <formula1>"oui,non"</formula1>
    </dataValidation>
    <dataValidation type="list" allowBlank="1" errorTitle="Valeur non autorisee" error="Choisir OK ou Corrige." sqref="G5:G15 G16:G44">
      <formula1>"OK,Corrige"</formula1>
    </dataValidation>
  </dataValidation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workbookViewId="0">
      <selection activeCell="A1" sqref="A1"/>
    </sheetView>
  </sheetViews>
  <sheetFormatPr defaultColWidth="8.67592592592593" defaultRowHeight="14.4" outlineLevelCol="1"/>
  <cols>
    <col min="1" max="1" width="34" customWidth="1"/>
    <col min="2" max="2" width="12" customWidth="1"/>
  </cols>
  <sheetData>
    <row r="1" ht="15.6" spans="1:2">
      <c r="A1" s="1" t="s">
        <v>100</v>
      </c>
    </row>
    <row r="2" spans="1:2">
      <c r="A2" s="6" t="s">
        <v>101</v>
      </c>
    </row>
    <row r="4" spans="1:2">
      <c r="A4" s="5" t="s">
        <v>102</v>
      </c>
      <c r="B4" s="7">
        <f>COUNTA(Annotation!A5:A44)</f>
        <v>40</v>
      </c>
    </row>
    <row r="5" spans="1:2">
      <c r="A5" s="5" t="s">
        <v>103</v>
      </c>
      <c r="B5" s="7">
        <f>COUNTIF(Annotation!G5:G44,"&lt;&gt;")</f>
        <v>40</v>
      </c>
    </row>
    <row r="6" spans="1:2">
      <c r="A6" s="5" t="s">
        <v>104</v>
      </c>
      <c r="B6" s="7">
        <f>B4-COUNTIF(Annotation!G5:G44,"&lt;&gt;")</f>
        <v>0</v>
      </c>
    </row>
    <row r="7" spans="1:2">
      <c r="A7" s="5" t="s">
        <v>105</v>
      </c>
      <c r="B7" s="7">
        <f>COUNTIF(Annotation!G5:G44,"Corrige")</f>
        <v>0</v>
      </c>
    </row>
    <row r="8" spans="1:2">
      <c r="A8" s="5"/>
    </row>
    <row r="9" spans="1:2">
      <c r="A9" s="2" t="s">
        <v>106</v>
      </c>
    </row>
    <row r="10" spans="1:2">
      <c r="A10" s="5" t="s">
        <v>10</v>
      </c>
      <c r="B10" s="7">
        <f>COUNTIF(Annotation!C5:C44,"Commercial")</f>
        <v>15</v>
      </c>
    </row>
    <row r="11" spans="1:2">
      <c r="A11" s="5" t="s">
        <v>27</v>
      </c>
      <c r="B11" s="7">
        <f>COUNTIF(Annotation!C5:C44,"Projet en cours")</f>
        <v>7</v>
      </c>
    </row>
    <row r="12" spans="1:2">
      <c r="A12" s="5" t="s">
        <v>16</v>
      </c>
      <c r="B12" s="7">
        <f>COUNTIF(Annotation!C5:C44,"Reclamation")</f>
        <v>7</v>
      </c>
    </row>
    <row r="13" spans="1:2">
      <c r="A13" s="5" t="s">
        <v>24</v>
      </c>
      <c r="B13" s="7">
        <f>COUNTIF(Annotation!C5:C44,"Partenariat")</f>
        <v>6</v>
      </c>
    </row>
    <row r="14" spans="1:2">
      <c r="A14" s="5" t="s">
        <v>20</v>
      </c>
      <c r="B14" s="7">
        <f>COUNTIF(Annotation!C5:C44,"Candidature")</f>
        <v>5</v>
      </c>
    </row>
    <row r="15" spans="1:2">
      <c r="A15" s="5"/>
    </row>
    <row r="16" spans="1:2">
      <c r="A16" s="5" t="s">
        <v>107</v>
      </c>
      <c r="B16" s="7">
        <f>COUNTIF(Annotation!D5:D44,"Haute")</f>
        <v>10</v>
      </c>
    </row>
    <row r="17" spans="1:2">
      <c r="A17" s="5" t="s">
        <v>108</v>
      </c>
      <c r="B17" s="7">
        <f>COUNTIF(Annotation!D5:D44,"Moyenne")</f>
        <v>13</v>
      </c>
    </row>
    <row r="18" spans="1:2">
      <c r="A18" s="5" t="s">
        <v>109</v>
      </c>
      <c r="B18" s="7">
        <f>COUNTIF(Annotation!D5:D44,"Basse")</f>
        <v>17</v>
      </c>
    </row>
    <row r="19" spans="1:2">
      <c r="A19" s="5"/>
    </row>
    <row r="20" spans="1:2">
      <c r="A20" s="5" t="s">
        <v>110</v>
      </c>
      <c r="B20" s="7">
        <f>COUNTIF(Annotation!E5:E44,"oui")</f>
        <v>9</v>
      </c>
    </row>
    <row r="21" spans="1:2">
      <c r="A21" s="2" t="s">
        <v>111</v>
      </c>
    </row>
    <row r="22" spans="1:2">
      <c r="A22" s="6" t="s">
        <v>112</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8.67592592592593" defaultRowHeight="14.4" outlineLevelCol="1"/>
  <cols>
    <col min="1" max="1" width="32" customWidth="1"/>
    <col min="2" max="2" width="88" customWidth="1"/>
  </cols>
  <sheetData>
    <row r="1" ht="15.6" spans="1:2">
      <c r="A1" s="1" t="s">
        <v>113</v>
      </c>
    </row>
    <row r="3" ht="78" customHeight="1" spans="1:2">
      <c r="A3" s="2" t="s">
        <v>114</v>
      </c>
      <c r="B3" s="3" t="s">
        <v>115</v>
      </c>
    </row>
    <row r="5" ht="78" customHeight="1" spans="1:2">
      <c r="A5" s="2" t="s">
        <v>116</v>
      </c>
      <c r="B5" s="3" t="s">
        <v>117</v>
      </c>
    </row>
    <row r="7" ht="78" customHeight="1" spans="1:2">
      <c r="A7" s="2" t="s">
        <v>118</v>
      </c>
      <c r="B7" s="3" t="s">
        <v>119</v>
      </c>
    </row>
    <row r="9" ht="78" customHeight="1" spans="1:2">
      <c r="A9" s="2" t="s">
        <v>120</v>
      </c>
      <c r="B9" s="3" t="s">
        <v>121</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1" sqref="A1"/>
    </sheetView>
  </sheetViews>
  <sheetFormatPr defaultColWidth="8.67592592592593" defaultRowHeight="14.4" outlineLevelCol="1"/>
  <cols>
    <col min="1" max="1" width="18" customWidth="1"/>
    <col min="2" max="2" width="85" customWidth="1"/>
  </cols>
  <sheetData>
    <row r="1" ht="15.6" spans="1:2">
      <c r="A1" s="1" t="s">
        <v>122</v>
      </c>
    </row>
    <row r="3" ht="30" customHeight="1" spans="1:2">
      <c r="A3" s="2" t="s">
        <v>10</v>
      </c>
      <c r="B3" s="3" t="s">
        <v>123</v>
      </c>
    </row>
    <row r="4" ht="30" customHeight="1" spans="1:2">
      <c r="A4" s="2" t="s">
        <v>27</v>
      </c>
      <c r="B4" s="3" t="s">
        <v>124</v>
      </c>
    </row>
    <row r="5" ht="30" customHeight="1" spans="1:2">
      <c r="A5" s="2" t="s">
        <v>16</v>
      </c>
      <c r="B5" s="3" t="s">
        <v>125</v>
      </c>
    </row>
    <row r="6" ht="30" customHeight="1" spans="1:2">
      <c r="A6" s="2" t="s">
        <v>24</v>
      </c>
      <c r="B6" s="3" t="s">
        <v>126</v>
      </c>
    </row>
    <row r="7" ht="30" customHeight="1" spans="1:2">
      <c r="A7" s="2" t="s">
        <v>20</v>
      </c>
      <c r="B7" s="3" t="s">
        <v>127</v>
      </c>
    </row>
    <row r="9" spans="1:2">
      <c r="A9" s="4" t="s">
        <v>128</v>
      </c>
    </row>
    <row r="10" spans="1:2">
      <c r="A10" s="2" t="s">
        <v>17</v>
      </c>
      <c r="B10" s="5" t="s">
        <v>129</v>
      </c>
    </row>
    <row r="11" spans="1:2">
      <c r="A11" s="2" t="s">
        <v>11</v>
      </c>
      <c r="B11" s="5" t="s">
        <v>130</v>
      </c>
    </row>
    <row r="12" spans="1:2">
      <c r="A12" s="2" t="s">
        <v>21</v>
      </c>
      <c r="B12" s="5" t="s">
        <v>131</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Annotation</vt:lpstr>
      <vt:lpstr>Suivi relecture</vt:lpstr>
      <vt:lpstr>A lire avant</vt:lpstr>
      <vt:lpstr>Definitions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Lucrene Djoumessi</cp:lastModifiedBy>
  <cp:revision>0</cp:revision>
  <dcterms:created xsi:type="dcterms:W3CDTF">2026-10-12T19:21:00Z</dcterms:created>
  <dcterms:modified xsi:type="dcterms:W3CDTF">2026-10-14T10:03:51Z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00D1288C98904BEDB8B9A65075EAA145_13</vt:lpwstr>
  </property>
  <property fmtid="{D5CDD505-2E9C-101B-9397-08002B2CF9AE}" pid="3" name="KSOProductBuildVer">
    <vt:lpwstr>1036-12.1.0.29162</vt:lpwstr>
  </property>
  <property fmtid="{D5CDD505-2E9C-101B-9397-08002B2CF9AE}" pid="4" name="CalculationRule">
    <vt:i4>0</vt:i4>
  </property>
</Properties>
</file>